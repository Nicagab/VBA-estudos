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manha201\Desktop\04_01\"/>
    </mc:Choice>
  </mc:AlternateContent>
  <bookViews>
    <workbookView xWindow="-120" yWindow="-120" windowWidth="20730" windowHeight="11160"/>
  </bookViews>
  <sheets>
    <sheet name="Testes" sheetId="10" r:id="rId1"/>
  </sheets>
  <functionGroups builtInGroupCount="18"/>
  <definedNames>
    <definedName name="anscount" hidden="1">1</definedName>
    <definedName name="LOCAL_MYSQL_DATE_FORMAT" localSheetId="0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2" i="10" l="1"/>
  <c r="H2" i="10"/>
  <c r="E2" i="10"/>
  <c r="B2" i="10"/>
  <c r="A13" i="10"/>
  <c r="D10" i="10"/>
  <c r="C10" i="10"/>
  <c r="F6" i="10"/>
  <c r="E6" i="10"/>
</calcChain>
</file>

<file path=xl/sharedStrings.xml><?xml version="1.0" encoding="utf-8"?>
<sst xmlns="http://schemas.openxmlformats.org/spreadsheetml/2006/main" count="15" uniqueCount="14">
  <si>
    <t>P2</t>
  </si>
  <si>
    <t>P1</t>
  </si>
  <si>
    <t>Exercícios</t>
  </si>
  <si>
    <t>Média3</t>
  </si>
  <si>
    <t>Média2</t>
  </si>
  <si>
    <t>Data</t>
  </si>
  <si>
    <t>Disciplina</t>
  </si>
  <si>
    <t>Sigla</t>
  </si>
  <si>
    <t>Semestre</t>
  </si>
  <si>
    <t>Inicial</t>
  </si>
  <si>
    <t>ADS001INF</t>
  </si>
  <si>
    <t>Medida</t>
  </si>
  <si>
    <t>Área2</t>
  </si>
  <si>
    <t>Área1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</si>
</sst>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b/>
      <i/>
      <sz val="11"/>
      <color rgb="FF0070C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1" fillId="0" borderId="0"/>
    <xf numFmtId="0" fontId="1" fillId="0" borderId="0"/>
    <xf numFmtId="0" fontId="3" fillId="0" borderId="0"/>
    <xf numFmtId="0" fontId="2" fillId="0" borderId="0"/>
    <xf numFmtId="0" fontId="3" fillId="0" borderId="0"/>
    <xf numFmtId="0" fontId="1" fillId="0" borderId="0"/>
    <xf numFmtId="0" fontId="1" fillId="0" borderId="0"/>
  </cellStyleXfs>
  <cellXfs count="10">
    <xf numFmtId="0" fontId="0" fillId="0" borderId="0" xfId="0"/>
    <xf numFmtId="0" fontId="1" fillId="0" borderId="0" xfId="2"/>
    <xf numFmtId="164" fontId="4" fillId="0" borderId="1" xfId="4" applyNumberFormat="1" applyFont="1" applyBorder="1" applyAlignment="1">
      <alignment horizontal="center"/>
    </xf>
    <xf numFmtId="0" fontId="4" fillId="0" borderId="1" xfId="4" applyFont="1" applyBorder="1" applyAlignment="1">
      <alignment horizontal="left"/>
    </xf>
    <xf numFmtId="0" fontId="4" fillId="0" borderId="0" xfId="2" applyFont="1"/>
    <xf numFmtId="0" fontId="4" fillId="0" borderId="1" xfId="4" applyFont="1" applyBorder="1" applyAlignment="1">
      <alignment horizontal="center"/>
    </xf>
    <xf numFmtId="0" fontId="5" fillId="0" borderId="1" xfId="4" applyFont="1" applyBorder="1" applyAlignment="1">
      <alignment horizontal="center" vertical="center"/>
    </xf>
    <xf numFmtId="164" fontId="5" fillId="0" borderId="1" xfId="4" applyNumberFormat="1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14" fontId="0" fillId="0" borderId="1" xfId="0" applyNumberFormat="1" applyBorder="1"/>
  </cellXfs>
  <cellStyles count="8">
    <cellStyle name="Normal" xfId="0" builtinId="0"/>
    <cellStyle name="Normal 2 2" xfId="1"/>
    <cellStyle name="Normal 2 2 2" xfId="2"/>
    <cellStyle name="Normal 2 2 3" xfId="3"/>
    <cellStyle name="Normal 2 3" xfId="5"/>
    <cellStyle name="Normal 3" xfId="4"/>
    <cellStyle name="Normal 3 2" xfId="7"/>
    <cellStyle name="Normal 4 2" xfId="6"/>
  </cellStyles>
  <dxfs count="2"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2:K16"/>
  <sheetViews>
    <sheetView tabSelected="1" zoomScaleNormal="100" workbookViewId="0">
      <selection activeCell="A14" sqref="A14"/>
    </sheetView>
  </sheetViews>
  <sheetFormatPr defaultColWidth="9" defaultRowHeight="12.75" x14ac:dyDescent="0.2"/>
  <cols>
    <col min="1" max="1" width="11.7109375" style="1" customWidth="1"/>
    <col min="2" max="11" width="12.42578125" style="1" customWidth="1"/>
    <col min="12" max="16384" width="9" style="1"/>
  </cols>
  <sheetData>
    <row r="2" spans="1:11" ht="15" x14ac:dyDescent="0.25">
      <c r="A2" s="6" t="s">
        <v>8</v>
      </c>
      <c r="B2" s="8" t="str">
        <f>MID(A6,4,3)</f>
        <v>001</v>
      </c>
      <c r="D2" s="6" t="s">
        <v>7</v>
      </c>
      <c r="E2" s="8" t="str">
        <f>LEFT(A6,3)</f>
        <v>ADS</v>
      </c>
      <c r="G2" s="6" t="s">
        <v>9</v>
      </c>
      <c r="H2" s="8" t="str">
        <f>LEFT(A6)</f>
        <v>A</v>
      </c>
      <c r="J2" s="6" t="s">
        <v>5</v>
      </c>
      <c r="K2" s="9">
        <f ca="1">TODAY()</f>
        <v>45748</v>
      </c>
    </row>
    <row r="3" spans="1:11" ht="15" x14ac:dyDescent="0.25">
      <c r="B3"/>
      <c r="C3"/>
      <c r="D3"/>
      <c r="E3"/>
      <c r="F3"/>
      <c r="G3"/>
    </row>
    <row r="4" spans="1:11" ht="15" x14ac:dyDescent="0.25">
      <c r="B4"/>
      <c r="C4"/>
      <c r="D4"/>
      <c r="E4"/>
      <c r="F4"/>
      <c r="G4"/>
    </row>
    <row r="5" spans="1:11" ht="15" x14ac:dyDescent="0.2">
      <c r="A5" s="6" t="s">
        <v>6</v>
      </c>
      <c r="B5" s="7" t="s">
        <v>1</v>
      </c>
      <c r="C5" s="7" t="s">
        <v>0</v>
      </c>
      <c r="D5" s="6" t="s">
        <v>2</v>
      </c>
      <c r="E5" s="6" t="s">
        <v>3</v>
      </c>
      <c r="F5" s="6" t="s">
        <v>4</v>
      </c>
    </row>
    <row r="6" spans="1:11" ht="15" x14ac:dyDescent="0.25">
      <c r="A6" s="3" t="s">
        <v>10</v>
      </c>
      <c r="B6" s="2">
        <v>4.0999999999999996</v>
      </c>
      <c r="C6" s="2">
        <v>5.2</v>
      </c>
      <c r="D6" s="2">
        <v>8.6</v>
      </c>
      <c r="E6" s="5">
        <f>Final(B6,C6,D6)</f>
        <v>5.9666662216186523</v>
      </c>
      <c r="F6" s="5">
        <f>Final(B6,C6)</f>
        <v>4.6499996185302734</v>
      </c>
    </row>
    <row r="7" spans="1:11" ht="15" x14ac:dyDescent="0.25">
      <c r="C7" s="4"/>
      <c r="D7" s="4"/>
      <c r="E7" s="4"/>
      <c r="F7" s="4"/>
      <c r="G7" s="4"/>
    </row>
    <row r="8" spans="1:11" ht="15" x14ac:dyDescent="0.25">
      <c r="C8" s="4"/>
      <c r="D8" s="4"/>
      <c r="E8" s="4"/>
      <c r="F8" s="4"/>
      <c r="G8" s="4"/>
    </row>
    <row r="9" spans="1:11" ht="15" x14ac:dyDescent="0.25">
      <c r="A9" s="6" t="s">
        <v>11</v>
      </c>
      <c r="B9" s="7" t="s">
        <v>11</v>
      </c>
      <c r="C9" s="6" t="s">
        <v>12</v>
      </c>
      <c r="D9" s="6" t="s">
        <v>13</v>
      </c>
      <c r="E9" s="4"/>
    </row>
    <row r="10" spans="1:11" ht="15" x14ac:dyDescent="0.25">
      <c r="A10" s="5">
        <v>4</v>
      </c>
      <c r="B10" s="5">
        <v>5</v>
      </c>
      <c r="C10" s="5">
        <f>Area(A10,B10)</f>
        <v>20</v>
      </c>
      <c r="D10" s="5">
        <f>Area(A10)</f>
        <v>16</v>
      </c>
      <c r="E10" s="4"/>
    </row>
    <row r="11" spans="1:11" ht="15" x14ac:dyDescent="0.25">
      <c r="B11" s="4"/>
      <c r="C11" s="4"/>
      <c r="D11" s="4"/>
      <c r="E11" s="4"/>
      <c r="F11" s="4"/>
      <c r="G11" s="4"/>
    </row>
    <row r="12" spans="1:11" ht="15" x14ac:dyDescent="0.25">
      <c r="B12" s="4"/>
      <c r="C12" s="4"/>
      <c r="D12" s="4"/>
      <c r="E12" s="4"/>
      <c r="F12" s="4"/>
      <c r="G12" s="4"/>
    </row>
    <row r="13" spans="1:11" ht="15" x14ac:dyDescent="0.25">
      <c r="A13" s="1" t="str">
        <f>"Dias para o final do ano: " &amp; Contagem()</f>
        <v>Dias para o final do ano: 274</v>
      </c>
      <c r="B13" s="4"/>
      <c r="C13" s="4"/>
      <c r="D13" s="4"/>
      <c r="E13" s="4"/>
      <c r="F13" s="4"/>
      <c r="G13" s="4"/>
    </row>
    <row r="14" spans="1:11" ht="15" x14ac:dyDescent="0.25">
      <c r="B14" s="4"/>
      <c r="C14" s="4"/>
      <c r="D14" s="4"/>
      <c r="E14" s="4"/>
      <c r="F14" s="4"/>
      <c r="G14" s="4"/>
    </row>
    <row r="15" spans="1:11" ht="15" x14ac:dyDescent="0.25">
      <c r="B15" s="4"/>
      <c r="C15" s="4"/>
      <c r="D15" s="4"/>
      <c r="E15" s="4"/>
      <c r="F15" s="4"/>
      <c r="G15" s="4"/>
    </row>
    <row r="16" spans="1:11" ht="15" x14ac:dyDescent="0.25">
      <c r="B16" s="4"/>
      <c r="C16" s="4"/>
      <c r="D16" s="4"/>
      <c r="E16" s="4"/>
      <c r="F16" s="4"/>
      <c r="G16" s="4"/>
    </row>
  </sheetData>
  <conditionalFormatting sqref="D6:F6 C10:D10">
    <cfRule type="cellIs" dxfId="1" priority="3" stopIfTrue="1" operator="equal">
      <formula>"reprov falta"</formula>
    </cfRule>
    <cfRule type="cellIs" dxfId="0" priority="4" stopIfTrue="1" operator="equal">
      <formula>"aguardar"</formula>
    </cfRule>
  </conditionalFormatting>
  <pageMargins left="0.78740157499999996" right="0.78740157499999996" top="0.984251969" bottom="0.984251969" header="0.49212598499999999" footer="0.49212598499999999"/>
  <pageSetup paperSize="9" orientation="portrait" horizontalDpi="4294967295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Testes</vt:lpstr>
    </vt:vector>
  </TitlesOfParts>
  <Company>Pessoal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152</dc:creator>
  <cp:lastModifiedBy>manha201</cp:lastModifiedBy>
  <dcterms:created xsi:type="dcterms:W3CDTF">2010-10-15T18:00:56Z</dcterms:created>
  <dcterms:modified xsi:type="dcterms:W3CDTF">2025-04-01T13:40:45Z</dcterms:modified>
</cp:coreProperties>
</file>