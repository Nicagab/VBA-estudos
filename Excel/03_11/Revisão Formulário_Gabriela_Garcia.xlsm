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nicag\OneDrive\Documentos\FATEC\ILM\03_11\"/>
    </mc:Choice>
  </mc:AlternateContent>
  <xr:revisionPtr revIDLastSave="0" documentId="13_ncr:1_{B70B6980-D53E-4BDB-A3B5-F93D27E31984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Vagas" sheetId="1" r:id="rId1"/>
    <sheet name="Vestibular" sheetId="4" r:id="rId2"/>
    <sheet name="Projeto" sheetId="5" r:id="rId3"/>
  </sheets>
  <definedNames>
    <definedName name="anscount" hidden="1">1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vo" localSheetId="1">#REF!</definedName>
    <definedName name="novo">#REF!</definedName>
    <definedName name="Pacotes" localSheetId="1">#REF!</definedName>
    <definedName name="Pacotes">#REF!</definedName>
    <definedName name="rw" localSheetId="1">#REF!</definedName>
    <definedName name="r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5" l="1"/>
  <c r="F2" i="5" s="1"/>
  <c r="O4" i="4" a="1"/>
  <c r="O4" i="4" s="1"/>
  <c r="P4" i="4" a="1"/>
  <c r="P4" i="4" s="1"/>
  <c r="Q4" i="4" a="1"/>
  <c r="Q4" i="4" s="1"/>
  <c r="O5" i="4" a="1"/>
  <c r="O5" i="4" s="1"/>
  <c r="P5" i="4" a="1"/>
  <c r="P5" i="4" s="1"/>
  <c r="Q5" i="4" a="1"/>
  <c r="Q5" i="4" s="1"/>
  <c r="N5" i="4" a="1"/>
  <c r="N5" i="4" s="1"/>
  <c r="N4" i="4" a="1"/>
  <c r="N4" i="4" s="1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<sst xmlns="http://schemas.openxmlformats.org/spreadsheetml/2006/main" count="23" uniqueCount="19">
  <si>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Período</t>
  </si>
  <si>
    <t>Manhã</t>
  </si>
  <si>
    <t>Tarde</t>
  </si>
  <si>
    <t>Noite</t>
  </si>
  <si>
    <t>DADOS GRÁFICO</t>
  </si>
  <si>
    <t>Série 1</t>
  </si>
  <si>
    <t>Série 2</t>
  </si>
  <si>
    <t>Turno</t>
  </si>
  <si>
    <t>Inscritos</t>
  </si>
  <si>
    <t>Demanda</t>
  </si>
  <si>
    <t>Em 2021</t>
  </si>
  <si>
    <t>Em 2022</t>
  </si>
  <si>
    <t>Em 2023</t>
  </si>
  <si>
    <t>Fase 1</t>
  </si>
  <si>
    <t>Fase 2</t>
  </si>
  <si>
    <t>Fase 3</t>
  </si>
  <si>
    <t>Progresso</t>
  </si>
  <si>
    <t>Status</t>
  </si>
  <si>
    <t>Projeto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</si>
</sst>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16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2"/>
      <name val="Calibri"/>
      <family val="2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b/>
      <sz val="12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8"/>
      <name val="Segoe UI"/>
      <family val="2"/>
    </font>
    <font>
      <sz val="11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</cellStyleXfs>
  <cellXfs count="30">
    <xf numFmtId="0" fontId="0" fillId="0" borderId="0" xfId="0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/>
    <xf numFmtId="0" fontId="8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3" borderId="0" xfId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10" fillId="7" borderId="0" xfId="1" applyFont="1" applyFill="1" applyAlignment="1">
      <alignment horizontal="center" vertical="center"/>
    </xf>
    <xf numFmtId="0" fontId="10" fillId="9" borderId="0" xfId="1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9" fillId="10" borderId="4" xfId="0" applyFont="1" applyFill="1" applyBorder="1" applyAlignment="1">
      <alignment horizontal="center" vertical="center"/>
    </xf>
    <xf numFmtId="0" fontId="13" fillId="11" borderId="4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vertical="center"/>
    </xf>
    <xf numFmtId="0" fontId="9" fillId="12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vertical="center"/>
    </xf>
    <xf numFmtId="0" fontId="9" fillId="0" borderId="4" xfId="0" applyFont="1" applyBorder="1" applyAlignment="1">
      <alignment horizontal="left" vertical="center"/>
    </xf>
    <xf numFmtId="0" fontId="9" fillId="10" borderId="4" xfId="0" applyFont="1" applyFill="1" applyBorder="1" applyAlignment="1">
      <alignment horizontal="center" vertical="center"/>
    </xf>
    <xf numFmtId="0" fontId="10" fillId="7" borderId="0" xfId="1" applyFont="1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vertical="center"/>
      <protection locked="0"/>
    </xf>
    <xf numFmtId="9" fontId="9" fillId="0" borderId="4" xfId="7" applyFont="1" applyBorder="1" applyAlignment="1">
      <alignment horizontal="center" vertical="center"/>
    </xf>
  </cellXfs>
  <cellStyles count="8">
    <cellStyle name="Ênfase5" xfId="1" builtinId="45"/>
    <cellStyle name="Normal" xfId="0" builtinId="0"/>
    <cellStyle name="Normal 2 2" xfId="2" xr:uid="{00000000-0005-0000-0000-000002000000}"/>
    <cellStyle name="Normal 3" xfId="6" xr:uid="{00000000-0005-0000-0000-000003000000}"/>
    <cellStyle name="Normal 5" xfId="5" xr:uid="{00000000-0005-0000-0000-000004000000}"/>
    <cellStyle name="Porcentagem" xfId="7" builtinId="5"/>
    <cellStyle name="Separador de milhares 2" xfId="3" xr:uid="{00000000-0005-0000-0000-000005000000}"/>
    <cellStyle name="Vírgula 2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Vestibular!$N$4</c:f>
              <c:strCache>
                <c:ptCount val="1"/>
                <c:pt idx="0">
                  <c:v>Noite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Vestibular!$O$2:$Q$3</c:f>
              <c:multiLvlStrCache>
                <c:ptCount val="3"/>
                <c:lvl>
                  <c:pt idx="0">
                    <c:v>Em 2021</c:v>
                  </c:pt>
                  <c:pt idx="1">
                    <c:v>Em 2022</c:v>
                  </c:pt>
                  <c:pt idx="2">
                    <c:v>Em 2023</c:v>
                  </c:pt>
                </c:lvl>
                <c:lvl>
                  <c:pt idx="0">
                    <c:v>3</c:v>
                  </c:pt>
                  <c:pt idx="1">
                    <c:v>Série 2</c:v>
                  </c:pt>
                  <c:pt idx="2">
                    <c:v>2</c:v>
                  </c:pt>
                </c:lvl>
              </c:multiLvlStrCache>
            </c:multiLvlStrRef>
          </c:cat>
          <c:val>
            <c:numRef>
              <c:f>Vestibular!$O$4:$Q$4</c:f>
              <c:numCache>
                <c:formatCode>General</c:formatCode>
                <c:ptCount val="3"/>
                <c:pt idx="0">
                  <c:v>259</c:v>
                </c:pt>
                <c:pt idx="1">
                  <c:v>2013</c:v>
                </c:pt>
                <c:pt idx="2">
                  <c:v>1730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A-4A15-B34B-07C5D644E72A}"/>
            </c:ext>
          </c:extLst>
        </c:ser>
        <c:ser>
          <c:idx val="1"/>
          <c:order val="1"/>
          <c:tx>
            <c:strRef>
              <c:f>Vestibular!$N$5</c:f>
              <c:strCache>
                <c:ptCount val="1"/>
                <c:pt idx="0">
                  <c:v>Tarde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Vestibular!$O$2:$Q$3</c:f>
              <c:multiLvlStrCache>
                <c:ptCount val="3"/>
                <c:lvl>
                  <c:pt idx="0">
                    <c:v>Em 2021</c:v>
                  </c:pt>
                  <c:pt idx="1">
                    <c:v>Em 2022</c:v>
                  </c:pt>
                  <c:pt idx="2">
                    <c:v>Em 2023</c:v>
                  </c:pt>
                </c:lvl>
                <c:lvl>
                  <c:pt idx="0">
                    <c:v>3</c:v>
                  </c:pt>
                  <c:pt idx="1">
                    <c:v>Série 2</c:v>
                  </c:pt>
                  <c:pt idx="2">
                    <c:v>2</c:v>
                  </c:pt>
                </c:lvl>
              </c:multiLvlStrCache>
            </c:multiLvlStrRef>
          </c:cat>
          <c:val>
            <c:numRef>
              <c:f>Vestibular!$O$5:$Q$5</c:f>
              <c:numCache>
                <c:formatCode>General</c:formatCode>
                <c:ptCount val="3"/>
                <c:pt idx="0">
                  <c:v>1647</c:v>
                </c:pt>
                <c:pt idx="1">
                  <c:v>319</c:v>
                </c:pt>
                <c:pt idx="2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A-4A15-B34B-07C5D644E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282607"/>
        <c:axId val="61294607"/>
      </c:barChart>
      <c:catAx>
        <c:axId val="6128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294607"/>
        <c:crosses val="autoZero"/>
        <c:auto val="1"/>
        <c:lblAlgn val="ctr"/>
        <c:lblOffset val="100"/>
        <c:noMultiLvlLbl val="0"/>
      </c:catAx>
      <c:valAx>
        <c:axId val="6129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282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pin" dx="22" fmlaLink="B4" inc="25" max="30000" page="10" val="250"/>
</file>

<file path=xl/ctrlProps/ctrlProp4.xml><?xml version="1.0" encoding="utf-8"?>
<formControlPr xmlns="http://schemas.microsoft.com/office/spreadsheetml/2009/9/main" objectType="Drop" dropStyle="combo" dx="22" fmlaLink="O2" fmlaRange="A2:A4" noThreeD="1" sel="3" val="0"/>
</file>

<file path=xl/ctrlProps/ctrlProp5.xml><?xml version="1.0" encoding="utf-8"?>
<formControlPr xmlns="http://schemas.microsoft.com/office/spreadsheetml/2009/9/main" objectType="Drop" dropStyle="combo" dx="22" fmlaLink="Q2" fmlaRange="A2:A4" noThreeD="1" sel="2" val="0"/>
</file>

<file path=xl/ctrlProps/ctrlProp6.xml><?xml version="1.0" encoding="utf-8"?>
<formControlPr xmlns="http://schemas.microsoft.com/office/spreadsheetml/2009/9/main" objectType="CheckBox" checked="Checked" fmlaLink="B2" lockText="1" noThreeD="1"/>
</file>

<file path=xl/ctrlProps/ctrlProp7.xml><?xml version="1.0" encoding="utf-8"?>
<formControlPr xmlns="http://schemas.microsoft.com/office/spreadsheetml/2009/9/main" objectType="CheckBox" fmlaLink="C2" lockText="1" noThreeD="1"/>
</file>

<file path=xl/ctrlProps/ctrlProp8.xml><?xml version="1.0" encoding="utf-8"?>
<formControlPr xmlns="http://schemas.microsoft.com/office/spreadsheetml/2009/9/main" objectType="CheckBox" fmlaLink="D2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1</xdr:col>
          <xdr:colOff>1162050</xdr:colOff>
          <xdr:row>1</xdr:row>
          <xdr:rowOff>247650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28575</xdr:rowOff>
        </xdr:from>
        <xdr:to>
          <xdr:col>2</xdr:col>
          <xdr:colOff>1152525</xdr:colOff>
          <xdr:row>1</xdr:row>
          <xdr:rowOff>238125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12A059D-F0EA-73E6-E468-925DE31ED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257175</xdr:rowOff>
        </xdr:from>
        <xdr:to>
          <xdr:col>2</xdr:col>
          <xdr:colOff>247650</xdr:colOff>
          <xdr:row>4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238125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238125</xdr:rowOff>
        </xdr:from>
        <xdr:to>
          <xdr:col>10</xdr:col>
          <xdr:colOff>9525</xdr:colOff>
          <xdr:row>2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EF14569-47C5-FDDB-1457-971E85AF5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438150</xdr:colOff>
      <xdr:row>3</xdr:row>
      <xdr:rowOff>4762</xdr:rowOff>
    </xdr:from>
    <xdr:to>
      <xdr:col>12</xdr:col>
      <xdr:colOff>133350</xdr:colOff>
      <xdr:row>15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76D085-26D0-3D32-6355-262A18E76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</xdr:row>
          <xdr:rowOff>9525</xdr:rowOff>
        </xdr:from>
        <xdr:to>
          <xdr:col>1</xdr:col>
          <xdr:colOff>685800</xdr:colOff>
          <xdr:row>2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</xdr:row>
          <xdr:rowOff>9525</xdr:rowOff>
        </xdr:from>
        <xdr:to>
          <xdr:col>2</xdr:col>
          <xdr:colOff>695325</xdr:colOff>
          <xdr:row>2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7D61802-22BE-0FDC-A185-4C736864A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9525</xdr:rowOff>
        </xdr:from>
        <xdr:to>
          <xdr:col>3</xdr:col>
          <xdr:colOff>685800</xdr:colOff>
          <xdr:row>2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8DBFA63D-DBC9-821B-F837-87ECF5277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D15"/>
  <sheetViews>
    <sheetView zoomScaleNormal="100" workbookViewId="0"/>
  </sheetViews>
  <sheetFormatPr defaultRowHeight="15" x14ac:dyDescent="0.25"/>
  <cols>
    <col min="1" max="1" width="16.7109375" customWidth="1"/>
    <col min="2" max="3" width="27" customWidth="1"/>
    <col min="4" max="4" width="9.140625" hidden="1" customWidth="1"/>
  </cols>
  <sheetData>
    <row r="1" spans="1:4" s="7" customFormat="1" ht="21" customHeight="1" x14ac:dyDescent="0.25"/>
    <row r="2" spans="1:4" s="7" customFormat="1" ht="21" customHeight="1" x14ac:dyDescent="0.25">
      <c r="A2" s="6" t="s">
        <v>7</v>
      </c>
      <c r="B2" s="6"/>
      <c r="C2" s="6"/>
      <c r="D2" s="27">
        <v>1</v>
      </c>
    </row>
    <row r="3" spans="1:4" s="7" customFormat="1" ht="21" customHeight="1" x14ac:dyDescent="0.25">
      <c r="A3" s="4"/>
      <c r="B3" s="2"/>
      <c r="C3" s="1"/>
    </row>
    <row r="4" spans="1:4" s="7" customFormat="1" ht="21" customHeight="1" x14ac:dyDescent="0.25">
      <c r="A4" s="9" t="s">
        <v>8</v>
      </c>
      <c r="B4" s="26">
        <v>250</v>
      </c>
      <c r="C4" s="1"/>
    </row>
    <row r="5" spans="1:4" s="7" customFormat="1" ht="21" customHeight="1" x14ac:dyDescent="0.25">
      <c r="A5" s="1"/>
      <c r="B5" s="2"/>
      <c r="C5" s="8"/>
    </row>
    <row r="6" spans="1:4" s="7" customFormat="1" ht="21" customHeight="1" x14ac:dyDescent="0.25">
      <c r="A6" s="10" t="s">
        <v>9</v>
      </c>
      <c r="B6" s="10">
        <f>(B4/IF(D2=1,40,80))</f>
        <v>6.25</v>
      </c>
      <c r="C6" s="1"/>
    </row>
    <row r="7" spans="1:4" ht="19.5" customHeight="1" x14ac:dyDescent="0.25">
      <c r="B7" s="5"/>
      <c r="C7" s="3"/>
    </row>
    <row r="8" spans="1:4" ht="20.100000000000001" customHeight="1" x14ac:dyDescent="0.25">
      <c r="B8" s="5"/>
      <c r="C8" s="3"/>
    </row>
    <row r="9" spans="1:4" ht="20.25" customHeight="1" x14ac:dyDescent="0.25">
      <c r="A9" s="3"/>
      <c r="B9" s="3"/>
      <c r="C9" s="3"/>
    </row>
    <row r="10" spans="1:4" ht="20.25" customHeight="1" x14ac:dyDescent="0.25">
      <c r="A10" s="3"/>
      <c r="B10" s="3"/>
      <c r="C10" s="3"/>
    </row>
    <row r="11" spans="1:4" ht="20.25" customHeight="1" x14ac:dyDescent="0.25">
      <c r="A11" s="3"/>
      <c r="B11" s="3"/>
      <c r="C11" s="3"/>
    </row>
    <row r="12" spans="1:4" ht="20.25" customHeight="1" x14ac:dyDescent="0.25">
      <c r="A12" s="3"/>
      <c r="B12" s="3"/>
      <c r="C12" s="3"/>
    </row>
    <row r="13" spans="1:4" ht="20.100000000000001" customHeight="1" x14ac:dyDescent="0.25">
      <c r="C13" s="3"/>
    </row>
    <row r="14" spans="1:4" ht="20.100000000000001" customHeight="1" x14ac:dyDescent="0.25">
      <c r="C14" s="3"/>
    </row>
    <row r="15" spans="1:4" ht="20.100000000000001" customHeight="1" x14ac:dyDescent="0.25">
      <c r="C15" s="3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1</xdr:col>
                    <xdr:colOff>1162050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2</xdr:col>
                    <xdr:colOff>76200</xdr:colOff>
                    <xdr:row>1</xdr:row>
                    <xdr:rowOff>28575</xdr:rowOff>
                  </from>
                  <to>
                    <xdr:col>2</xdr:col>
                    <xdr:colOff>1152525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>
                <anchor moveWithCells="1" sizeWithCells="1">
                  <from>
                    <xdr:col>2</xdr:col>
                    <xdr:colOff>9525</xdr:colOff>
                    <xdr:row>2</xdr:row>
                    <xdr:rowOff>257175</xdr:rowOff>
                  </from>
                  <to>
                    <xdr:col>2</xdr:col>
                    <xdr:colOff>247650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Q10"/>
  <sheetViews>
    <sheetView workbookViewId="0"/>
  </sheetViews>
  <sheetFormatPr defaultRowHeight="15" x14ac:dyDescent="0.25"/>
  <cols>
    <col min="1" max="1" width="13.42578125" customWidth="1"/>
    <col min="2" max="4" width="13.28515625" customWidth="1"/>
  </cols>
  <sheetData>
    <row r="1" spans="1:17" ht="20.100000000000001" customHeight="1" x14ac:dyDescent="0.25">
      <c r="A1" s="11" t="s">
        <v>0</v>
      </c>
      <c r="B1" s="12" t="s">
        <v>10</v>
      </c>
      <c r="C1" s="12" t="s">
        <v>11</v>
      </c>
      <c r="D1" s="13" t="s">
        <v>12</v>
      </c>
      <c r="N1" s="25" t="s">
        <v>4</v>
      </c>
      <c r="O1" s="25"/>
      <c r="P1" s="25"/>
      <c r="Q1" s="25"/>
    </row>
    <row r="2" spans="1:17" ht="20.100000000000001" customHeight="1" x14ac:dyDescent="0.25">
      <c r="A2" s="14" t="s">
        <v>1</v>
      </c>
      <c r="B2" s="15">
        <v>738</v>
      </c>
      <c r="C2" s="15">
        <v>991</v>
      </c>
      <c r="D2" s="16">
        <v>927</v>
      </c>
      <c r="N2" s="17" t="s">
        <v>5</v>
      </c>
      <c r="O2" s="18">
        <v>3</v>
      </c>
      <c r="P2" s="17" t="s">
        <v>6</v>
      </c>
      <c r="Q2" s="18">
        <v>2</v>
      </c>
    </row>
    <row r="3" spans="1:17" ht="20.100000000000001" customHeight="1" x14ac:dyDescent="0.25">
      <c r="A3" s="14" t="s">
        <v>2</v>
      </c>
      <c r="B3" s="15">
        <v>1647</v>
      </c>
      <c r="C3" s="15">
        <v>319</v>
      </c>
      <c r="D3" s="16">
        <v>295</v>
      </c>
      <c r="N3" s="19" t="s">
        <v>0</v>
      </c>
      <c r="O3" s="19" t="s">
        <v>10</v>
      </c>
      <c r="P3" s="19" t="s">
        <v>11</v>
      </c>
      <c r="Q3" s="19" t="s">
        <v>12</v>
      </c>
    </row>
    <row r="4" spans="1:17" ht="20.100000000000001" customHeight="1" x14ac:dyDescent="0.25">
      <c r="A4" s="14" t="s">
        <v>3</v>
      </c>
      <c r="B4" s="15">
        <v>259</v>
      </c>
      <c r="C4" s="15">
        <v>2013</v>
      </c>
      <c r="D4" s="16">
        <v>1730</v>
      </c>
      <c r="N4" s="20" t="str" cm="1">
        <f t="array" ref="N4">INDEX(A2:A4,$O2,1)</f>
        <v>Noite</v>
      </c>
      <c r="O4" s="20" cm="1">
        <f t="array" ref="O4">INDEX(B2:B4,$O2,1)</f>
        <v>259</v>
      </c>
      <c r="P4" s="20" cm="1">
        <f t="array" ref="P4">INDEX(C2:C4,$O2,1)</f>
        <v>2013</v>
      </c>
      <c r="Q4" s="20" cm="1">
        <f t="array" ref="Q4">INDEX(D2:D4,$O2,1)</f>
        <v>1730</v>
      </c>
    </row>
    <row r="5" spans="1:17" ht="20.100000000000001" customHeight="1" x14ac:dyDescent="0.25">
      <c r="A5" s="7"/>
      <c r="B5" s="7"/>
      <c r="C5" s="7"/>
      <c r="D5" s="7"/>
      <c r="N5" s="20" t="str" cm="1">
        <f t="array" ref="N5">INDEX(A2:A4,$Q2,1)</f>
        <v>Tarde</v>
      </c>
      <c r="O5" s="20" cm="1">
        <f t="array" ref="O5">INDEX(B2:B4,$Q2,1)</f>
        <v>1647</v>
      </c>
      <c r="P5" s="20" cm="1">
        <f t="array" ref="P5">INDEX(C2:C4,$Q2,1)</f>
        <v>319</v>
      </c>
      <c r="Q5" s="20" cm="1">
        <f t="array" ref="Q5">INDEX(D2:D4,$Q2,1)</f>
        <v>295</v>
      </c>
    </row>
    <row r="6" spans="1:17" ht="20.100000000000001" customHeight="1" x14ac:dyDescent="0.25"/>
    <row r="7" spans="1:17" ht="20.100000000000001" customHeight="1" x14ac:dyDescent="0.25"/>
    <row r="8" spans="1:17" ht="20.100000000000001" customHeight="1" x14ac:dyDescent="0.25"/>
    <row r="9" spans="1:17" ht="20.100000000000001" customHeight="1" x14ac:dyDescent="0.25"/>
    <row r="10" spans="1:17" ht="20.100000000000001" customHeight="1" x14ac:dyDescent="0.25"/>
  </sheetData>
  <mergeCells count="1">
    <mergeCell ref="N1:Q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5</xdr:col>
                    <xdr:colOff>0</xdr:colOff>
                    <xdr:row>0</xdr:row>
                    <xdr:rowOff>238125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8</xdr:col>
                    <xdr:colOff>9525</xdr:colOff>
                    <xdr:row>0</xdr:row>
                    <xdr:rowOff>238125</xdr:rowOff>
                  </from>
                  <to>
                    <xdr:col>10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2"/>
  <sheetViews>
    <sheetView tabSelected="1" workbookViewId="0"/>
  </sheetViews>
  <sheetFormatPr defaultRowHeight="15" x14ac:dyDescent="0.25"/>
  <cols>
    <col min="1" max="1" width="12.7109375" customWidth="1"/>
    <col min="2" max="4" width="15.7109375" customWidth="1"/>
    <col min="5" max="6" width="19.85546875" customWidth="1"/>
  </cols>
  <sheetData>
    <row r="1" spans="1:6" ht="23.1" customHeight="1" x14ac:dyDescent="0.25">
      <c r="A1" s="7"/>
      <c r="B1" s="22" t="s">
        <v>13</v>
      </c>
      <c r="C1" s="22" t="s">
        <v>14</v>
      </c>
      <c r="D1" s="22" t="s">
        <v>15</v>
      </c>
      <c r="E1" s="21" t="s">
        <v>16</v>
      </c>
      <c r="F1" s="21" t="s">
        <v>17</v>
      </c>
    </row>
    <row r="2" spans="1:6" ht="23.1" customHeight="1" x14ac:dyDescent="0.25">
      <c r="A2" s="23" t="s">
        <v>18</v>
      </c>
      <c r="B2" s="28" t="b">
        <v>1</v>
      </c>
      <c r="C2" s="28" t="b">
        <v>0</v>
      </c>
      <c r="D2" s="28" t="b">
        <v>0</v>
      </c>
      <c r="E2" s="29">
        <f>(COUNTIF(B2:D2,TRUE))/3</f>
        <v>0.33333333333333331</v>
      </c>
      <c r="F2" s="24" t="str">
        <f>(IF(E2=1,"Finalizado","Em andamento"))</f>
        <v>Em andamento</v>
      </c>
    </row>
  </sheetData>
  <conditionalFormatting sqref="E2">
    <cfRule type="dataBar" priority="1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{5F09BC85-BB4B-4B24-8961-123143864062}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1</xdr:col>
                    <xdr:colOff>428625</xdr:colOff>
                    <xdr:row>1</xdr:row>
                    <xdr:rowOff>9525</xdr:rowOff>
                  </from>
                  <to>
                    <xdr:col>1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438150</xdr:colOff>
                    <xdr:row>1</xdr:row>
                    <xdr:rowOff>9525</xdr:rowOff>
                  </from>
                  <to>
                    <xdr:col>2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3</xdr:col>
                    <xdr:colOff>428625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F09BC85-BB4B-4B24-8961-1231438640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Vagas</vt:lpstr>
      <vt:lpstr>Vestibular</vt:lpstr>
      <vt:lpstr>Projeto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Gabriela Garcia Custodio</cp:lastModifiedBy>
  <dcterms:created xsi:type="dcterms:W3CDTF">2023-02-22T19:48:03Z</dcterms:created>
  <dcterms:modified xsi:type="dcterms:W3CDTF">2025-03-12T18:13:13Z</dcterms:modified>
</cp:coreProperties>
</file>